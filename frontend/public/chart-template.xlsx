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AE332DAB-A0E4-4ADB-8AB7-22E8A2234376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Data" sheetId="2" r:id="rId1"/>
    <sheet name="Charts" sheetId="3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3" l="1"/>
  <c r="U20" i="3"/>
  <c r="O20" i="3"/>
</calcChain>
</file>

<file path=xl/sharedStrings.xml><?xml version="1.0" encoding="utf-8"?>
<sst xmlns="http://schemas.openxmlformats.org/spreadsheetml/2006/main" count="23" uniqueCount="22">
  <si>
    <t>total</t>
  </si>
  <si>
    <t>contact</t>
  </si>
  <si>
    <t>yes</t>
  </si>
  <si>
    <t>segment</t>
  </si>
  <si>
    <t>conversionRate</t>
  </si>
  <si>
    <t>poutcome</t>
  </si>
  <si>
    <t>no</t>
  </si>
  <si>
    <t>campaignCount</t>
  </si>
  <si>
    <t>efficiency</t>
  </si>
  <si>
    <t>Index</t>
  </si>
  <si>
    <t>s</t>
  </si>
  <si>
    <t>w</t>
  </si>
  <si>
    <t>e</t>
  </si>
  <si>
    <t>as</t>
  </si>
  <si>
    <t>Cellular</t>
  </si>
  <si>
    <t>d</t>
  </si>
  <si>
    <t>asd</t>
  </si>
  <si>
    <t>qwe</t>
  </si>
  <si>
    <t>zxc</t>
  </si>
  <si>
    <t>Tasa de Conversión</t>
  </si>
  <si>
    <t>Duración Promedio</t>
  </si>
  <si>
    <t>Rentabilidad Proyectada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</si>
</sst>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Contactos por Mes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Data!$A$2:$A$13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Data!$B$2:$B$13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E9C3-40BE-8C64-E890E928F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5052368"/>
        <c:axId val="1455051888"/>
        <c:extLst/>
      </c:barChart>
      <c:catAx>
        <c:axId val="145505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55051888"/>
        <c:crosses val="autoZero"/>
        <c:auto val="1"/>
        <c:lblAlgn val="ctr"/>
        <c:lblOffset val="100"/>
        <c:noMultiLvlLbl val="0"/>
      </c:catAx>
      <c:valAx>
        <c:axId val="145505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55052368"/>
        <c:crosses val="autoZero"/>
        <c:crossBetween val="between"/>
      </c:valAx>
    </c:plotArea>
    <c:plotVisOnly val="1"/>
    <c:dispBlanksAs val="gap"/>
    <c:showDLblsOverMax val="0"/>
    <c:extLst/>
  </c:chart>
  <c:spPr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Data!$F$2</c:f>
              <c:strCache>
                <c:ptCount val="1"/>
                <c:pt idx="0">
                  <c:v>Cellular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Data!$G$2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7-4C12-91C5-B73528D434B9}"/>
            </c:ext>
          </c:extLst>
        </c:ser>
        <c:ser>
          <c:idx val="1"/>
          <c:order val="1"/>
          <c:tx>
            <c:strRef>
              <c:f>Data!$F$3</c:f>
              <c:strCache>
                <c:ptCount val="1"/>
                <c:pt idx="0">
                  <c:v>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Data!$G$3</c:f>
              <c:numCache>
                <c:formatCode>General</c:formatCode>
                <c:ptCount val="1"/>
                <c:pt idx="0">
                  <c:v>1223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87-4C12-91C5-B73528D43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381600"/>
        <c:axId val="800641648"/>
      </c:barChart>
      <c:catAx>
        <c:axId val="995381600"/>
        <c:scaling>
          <c:orientation val="minMax"/>
        </c:scaling>
        <c:delete val="1"/>
        <c:axPos val="b"/>
        <c:majorTickMark val="none"/>
        <c:minorTickMark val="none"/>
        <c:tickLblPos val="nextTo"/>
        <c:crossAx val="800641648"/>
        <c:crosses val="autoZero"/>
        <c:auto val="1"/>
        <c:lblAlgn val="ctr"/>
        <c:lblOffset val="100"/>
        <c:noMultiLvlLbl val="0"/>
      </c:catAx>
      <c:valAx>
        <c:axId val="80064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99538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Conversión por</a:t>
            </a:r>
            <a:r>
              <a:rPr lang="es-US" baseline="0"/>
              <a:t> Edad</a:t>
            </a:r>
            <a:endParaRPr lang="es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Data!$I$2</c:f>
              <c:strCache>
                <c:ptCount val="1"/>
                <c:pt idx="0">
                  <c:v>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Data!$J$2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F-4B42-93DB-0D983F309806}"/>
            </c:ext>
          </c:extLst>
        </c:ser>
        <c:ser>
          <c:idx val="1"/>
          <c:order val="1"/>
          <c:tx>
            <c:strRef>
              <c:f>Data!$I$3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Data!$J$3</c:f>
              <c:numCache>
                <c:formatCode>General</c:formatCode>
                <c:ptCount val="1"/>
                <c:pt idx="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CF-4B42-93DB-0D983F309806}"/>
            </c:ext>
          </c:extLst>
        </c:ser>
        <c:ser>
          <c:idx val="2"/>
          <c:order val="2"/>
          <c:tx>
            <c:strRef>
              <c:f>Data!$I$4</c:f>
              <c:strCache>
                <c:ptCount val="1"/>
                <c:pt idx="0">
                  <c:v>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Data!$J$4</c:f>
              <c:numCache>
                <c:formatCode>General</c:formatCode>
                <c:ptCount val="1"/>
                <c:pt idx="0">
                  <c:v>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CF-4B42-93DB-0D983F309806}"/>
            </c:ext>
          </c:extLst>
        </c:ser>
        <c:ser>
          <c:idx val="3"/>
          <c:order val="3"/>
          <c:tx>
            <c:strRef>
              <c:f>Data!$I$5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Data!$J$5</c:f>
              <c:numCache>
                <c:formatCode>General</c:formatCode>
                <c:ptCount val="1"/>
                <c:pt idx="0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CF-4B42-93DB-0D983F309806}"/>
            </c:ext>
          </c:extLst>
        </c:ser>
        <c:ser>
          <c:idx val="4"/>
          <c:order val="4"/>
          <c:tx>
            <c:strRef>
              <c:f>Data!$I$6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Data!$J$6</c:f>
              <c:numCache>
                <c:formatCode>General</c:formatCode>
                <c:ptCount val="1"/>
                <c:pt idx="0">
                  <c:v>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CF-4B42-93DB-0D983F309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3493695"/>
        <c:axId val="1503486495"/>
      </c:barChart>
      <c:catAx>
        <c:axId val="1503493695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3486495"/>
        <c:crosses val="autoZero"/>
        <c:auto val="1"/>
        <c:lblAlgn val="ctr"/>
        <c:lblOffset val="100"/>
        <c:noMultiLvlLbl val="0"/>
      </c:catAx>
      <c:valAx>
        <c:axId val="150348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50349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Impacto del Historial</a:t>
            </a:r>
            <a:r>
              <a:rPr lang="es-US" baseline="0"/>
              <a:t> Previo</a:t>
            </a:r>
            <a:endParaRPr lang="es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Data!$O$1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Data!$N$2:$N$4</c:f>
              <c:strCache>
                <c:ptCount val="3"/>
                <c:pt idx="0">
                  <c:v>asd</c:v>
                </c:pt>
                <c:pt idx="1">
                  <c:v>qwe</c:v>
                </c:pt>
                <c:pt idx="2">
                  <c:v>zxc</c:v>
                </c:pt>
              </c:strCache>
            </c:strRef>
          </c:cat>
          <c:val>
            <c:numRef>
              <c:f>Data!$O$2:$O$4</c:f>
              <c:numCache>
                <c:formatCode>General</c:formatCode>
                <c:ptCount val="3"/>
                <c:pt idx="0">
                  <c:v>12</c:v>
                </c:pt>
                <c:pt idx="1">
                  <c:v>23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C-4D70-98AD-66C9CCA33E88}"/>
            </c:ext>
          </c:extLst>
        </c:ser>
        <c:ser>
          <c:idx val="1"/>
          <c:order val="1"/>
          <c:tx>
            <c:strRef>
              <c:f>Data!$P$1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Data!$N$2:$N$4</c:f>
              <c:strCache>
                <c:ptCount val="3"/>
                <c:pt idx="0">
                  <c:v>asd</c:v>
                </c:pt>
                <c:pt idx="1">
                  <c:v>qwe</c:v>
                </c:pt>
                <c:pt idx="2">
                  <c:v>zxc</c:v>
                </c:pt>
              </c:strCache>
            </c:strRef>
          </c:cat>
          <c:val>
            <c:numRef>
              <c:f>Data!$P$2:$P$4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7C-4D70-98AD-66C9CCA33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3505215"/>
        <c:axId val="1503505695"/>
      </c:barChart>
      <c:catAx>
        <c:axId val="150350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503505695"/>
        <c:crosses val="autoZero"/>
        <c:auto val="1"/>
        <c:lblAlgn val="ctr"/>
        <c:lblOffset val="100"/>
        <c:noMultiLvlLbl val="0"/>
      </c:catAx>
      <c:valAx>
        <c:axId val="150350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50350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Índice de Eficiencia por</a:t>
            </a:r>
            <a:r>
              <a:rPr lang="es-US" baseline="0"/>
              <a:t> Campaña</a:t>
            </a:r>
            <a:endParaRPr lang="es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Eficiencia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Data!$S$2:$S$57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Data!$T$2:$T$57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0-42BF-8FF0-E4829680A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3511935"/>
        <c:axId val="150351721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Data!$S$1</c15:sqref>
                        </c15:formulaRef>
                      </c:ext>
                    </c:extLst>
                    <c:strCache>
                      <c:ptCount val="1"/>
                      <c:pt idx="0">
                        <c:v>campaignCount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Data!$S$2:$S$57</c15:sqref>
                        </c15:formulaRef>
                      </c:ext>
                    </c:extLst>
                    <c:numCache>
                      <c:formatCode>General</c:formatCode>
                      <c:ptCount val="5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Data!$S$2:$S$57</c15:sqref>
                        </c15:formulaRef>
                      </c:ext>
                    </c:extLst>
                    <c:numCache>
                      <c:formatCode>General</c:formatCode>
                      <c:ptCount val="5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D40-42BF-8FF0-E4829680AA52}"/>
                  </c:ext>
                </c:extLst>
              </c15:ser>
            </c15:filteredBarSeries>
          </c:ext>
        </c:extLst>
      </c:barChart>
      <c:catAx>
        <c:axId val="150351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503517215"/>
        <c:crosses val="autoZero"/>
        <c:auto val="1"/>
        <c:lblAlgn val="ctr"/>
        <c:lblOffset val="100"/>
        <c:noMultiLvlLbl val="0"/>
      </c:catAx>
      <c:valAx>
        <c:axId val="150351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50351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</xdr:row>
      <xdr:rowOff>28575</xdr:rowOff>
    </xdr:from>
    <xdr:to>
      <xdr:col>6</xdr:col>
      <xdr:colOff>190500</xdr:colOff>
      <xdr:row>15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0B2F857-D5F9-4881-9206-DD6387B55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66675</xdr:colOff>
      <xdr:row>1</xdr:row>
      <xdr:rowOff>95250</xdr:rowOff>
    </xdr:from>
    <xdr:to>
      <xdr:col>13</xdr:col>
      <xdr:colOff>66675</xdr:colOff>
      <xdr:row>15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905D6F-3F82-4EFA-92E1-BE1FFB4B0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666750</xdr:colOff>
      <xdr:row>1</xdr:row>
      <xdr:rowOff>95250</xdr:rowOff>
    </xdr:from>
    <xdr:to>
      <xdr:col>19</xdr:col>
      <xdr:colOff>666750</xdr:colOff>
      <xdr:row>15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60EC5E0-7C00-4C68-9238-374765BB0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171450</xdr:colOff>
      <xdr:row>17</xdr:row>
      <xdr:rowOff>76200</xdr:rowOff>
    </xdr:from>
    <xdr:to>
      <xdr:col>6</xdr:col>
      <xdr:colOff>171450</xdr:colOff>
      <xdr:row>31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FFBEC14-133C-4C4A-A215-ACB7389109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66675</xdr:colOff>
      <xdr:row>17</xdr:row>
      <xdr:rowOff>95250</xdr:rowOff>
    </xdr:from>
    <xdr:to>
      <xdr:col>13</xdr:col>
      <xdr:colOff>66675</xdr:colOff>
      <xdr:row>31</xdr:row>
      <xdr:rowOff>171450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81E3032-9BBE-4A82-B6A7-03D277E58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ja\Downloads\Dashboard%20(15).xlsx" TargetMode="External"/><Relationship Id="rId1" Type="http://schemas.openxmlformats.org/officeDocument/2006/relationships/externalLinkPath" Target="/Users/aleja/Downloads/Dashboard%20(1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Charts"/>
    </sheetNames>
    <sheetDataSet>
      <sheetData sheetId="0">
        <row r="2">
          <cell r="A2">
            <v>3</v>
          </cell>
          <cell r="B2">
            <v>24</v>
          </cell>
        </row>
        <row r="3">
          <cell r="A3">
            <v>4</v>
          </cell>
          <cell r="B3">
            <v>193</v>
          </cell>
        </row>
        <row r="4">
          <cell r="A4">
            <v>5</v>
          </cell>
          <cell r="B4">
            <v>1269</v>
          </cell>
        </row>
        <row r="5">
          <cell r="A5">
            <v>6</v>
          </cell>
          <cell r="B5">
            <v>475</v>
          </cell>
        </row>
        <row r="6">
          <cell r="A6">
            <v>7</v>
          </cell>
          <cell r="B6">
            <v>642</v>
          </cell>
        </row>
        <row r="7">
          <cell r="A7">
            <v>8</v>
          </cell>
          <cell r="B7">
            <v>497</v>
          </cell>
        </row>
        <row r="8">
          <cell r="A8">
            <v>9</v>
          </cell>
          <cell r="B8">
            <v>1</v>
          </cell>
        </row>
        <row r="9">
          <cell r="A9">
            <v>10</v>
          </cell>
          <cell r="B9">
            <v>23</v>
          </cell>
        </row>
        <row r="10">
          <cell r="A10">
            <v>11</v>
          </cell>
          <cell r="B10">
            <v>392</v>
          </cell>
        </row>
        <row r="11">
          <cell r="A11">
            <v>12</v>
          </cell>
          <cell r="B11">
            <v>5</v>
          </cell>
        </row>
      </sheetData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569318-7096-414C-B43F-F406885E6D09}" name="Tabla3" displayName="Tabla3" ref="F1:G3" totalsRowShown="0" headerRowDxfId="4">
  <autoFilter ref="F1:G3" xr:uid="{A1569318-7096-414C-B43F-F406885E6D09}"/>
  <tableColumns count="2">
    <tableColumn id="1" xr3:uid="{E67D1606-4345-4185-BEBD-9D280D36A4A4}" name="contact"/>
    <tableColumn id="2" xr3:uid="{AA389ED4-83D3-4E02-AA33-5A30C61B5373}" name="y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120882-CDEB-4BE0-9763-CB3ED69481E7}" name="Tabla4" displayName="Tabla4" ref="A1:B13" totalsRowShown="0" headerRowDxfId="3">
  <autoFilter ref="A1:B13" xr:uid="{56120882-CDEB-4BE0-9763-CB3ED69481E7}"/>
  <tableColumns count="2">
    <tableColumn id="1" xr3:uid="{F1773EE3-7E6F-45C4-BE49-C3F1D557E7BC}" name="Index"/>
    <tableColumn id="2" xr3:uid="{BA395062-99D0-4177-83CF-3DF0EFF4053F}" name="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2CDDA9-25CA-4DBB-BF78-1A4A245FB7F7}" name="Tabla6" displayName="Tabla6" ref="I1:J6" totalsRowShown="0" headerRowDxfId="2">
  <autoFilter ref="I1:J6" xr:uid="{612CDDA9-25CA-4DBB-BF78-1A4A245FB7F7}"/>
  <tableColumns count="2">
    <tableColumn id="1" xr3:uid="{B015997A-30C9-4FDB-B106-2951A2FCBD41}" name="segment"/>
    <tableColumn id="2" xr3:uid="{71FA9969-08AC-44D9-AE6E-EE205776C0D8}" name="conversionR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A3B36FE-C55E-46AB-B510-E8D49703CA1D}" name="Tabla8" displayName="Tabla8" ref="N1:P4" totalsRowShown="0" headerRowDxfId="1">
  <autoFilter ref="N1:P4" xr:uid="{EA3B36FE-C55E-46AB-B510-E8D49703CA1D}"/>
  <tableColumns count="3">
    <tableColumn id="1" xr3:uid="{70621206-CE15-408C-B632-53C5418E9E25}" name="poutcome"/>
    <tableColumn id="2" xr3:uid="{CB0149F8-2ABE-42EB-BED8-406A3C5B3CA0}" name="yes"/>
    <tableColumn id="3" xr3:uid="{71B4D827-17EC-4FA4-B44D-08C1F539E3C2}" name="n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ED6B23-F9E7-4161-86F8-20AA2BF1ED8A}" name="Tabla9" displayName="Tabla9" ref="S1:T57" totalsRowShown="0" headerRowDxfId="0">
  <autoFilter ref="S1:T57" xr:uid="{00ED6B23-F9E7-4161-86F8-20AA2BF1ED8A}"/>
  <tableColumns count="2">
    <tableColumn id="1" xr3:uid="{02B43201-C8CA-4E73-938B-45F1BEC1ABEA}" name="campaignCount"/>
    <tableColumn id="2" xr3:uid="{9DA6C330-CB92-4B91-8AB4-59C615DFD6F6}" name="effici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35BD-311E-4054-93D6-6885AA313307}">
  <dimension ref="A1:T22"/>
  <sheetViews>
    <sheetView workbookViewId="0">
      <selection activeCell="B21" sqref="B21"/>
    </sheetView>
  </sheetViews>
  <sheetFormatPr baseColWidth="10" defaultRowHeight="15" x14ac:dyDescent="0.25"/>
  <cols>
    <col min="10" max="10" width="16.85546875" customWidth="1"/>
    <col min="14" max="14" width="12.140625" customWidth="1"/>
    <col min="19" max="19" width="16.85546875" customWidth="1"/>
    <col min="20" max="20" width="11.85546875" customWidth="1"/>
  </cols>
  <sheetData>
    <row r="1" spans="1:20" ht="30" x14ac:dyDescent="0.25">
      <c r="A1" s="2" t="s">
        <v>9</v>
      </c>
      <c r="B1" s="2" t="s">
        <v>0</v>
      </c>
      <c r="C1" s="1"/>
      <c r="D1" s="1"/>
      <c r="E1" s="1"/>
      <c r="F1" s="2" t="s">
        <v>1</v>
      </c>
      <c r="G1" s="2" t="s">
        <v>2</v>
      </c>
      <c r="H1" s="1"/>
      <c r="I1" s="2" t="s">
        <v>3</v>
      </c>
      <c r="J1" s="2" t="s">
        <v>4</v>
      </c>
      <c r="K1" s="2"/>
      <c r="M1" s="1"/>
      <c r="N1" s="2" t="s">
        <v>5</v>
      </c>
      <c r="O1" s="2" t="s">
        <v>2</v>
      </c>
      <c r="P1" s="2" t="s">
        <v>6</v>
      </c>
      <c r="R1" s="1"/>
      <c r="S1" s="2" t="s">
        <v>7</v>
      </c>
      <c r="T1" s="2" t="s">
        <v>8</v>
      </c>
    </row>
    <row r="2" spans="1:20" x14ac:dyDescent="0.25">
      <c r="A2">
        <v>1</v>
      </c>
      <c r="B2">
        <v>2</v>
      </c>
      <c r="F2" t="s">
        <v>14</v>
      </c>
      <c r="G2">
        <v>23</v>
      </c>
      <c r="I2" t="s">
        <v>10</v>
      </c>
      <c r="J2">
        <v>12</v>
      </c>
      <c r="N2" t="s">
        <v>16</v>
      </c>
      <c r="O2">
        <v>12</v>
      </c>
      <c r="P2">
        <v>2</v>
      </c>
      <c r="S2">
        <v>1</v>
      </c>
      <c r="T2">
        <v>1</v>
      </c>
    </row>
    <row r="3" spans="1:20" x14ac:dyDescent="0.25">
      <c r="A3">
        <v>2</v>
      </c>
      <c r="B3">
        <v>3</v>
      </c>
      <c r="F3" t="s">
        <v>13</v>
      </c>
      <c r="G3">
        <v>1223</v>
      </c>
      <c r="I3" t="s">
        <v>12</v>
      </c>
      <c r="J3">
        <v>32</v>
      </c>
      <c r="N3" t="s">
        <v>17</v>
      </c>
      <c r="O3">
        <v>23</v>
      </c>
      <c r="P3">
        <v>3</v>
      </c>
      <c r="S3">
        <v>2</v>
      </c>
      <c r="T3">
        <v>2</v>
      </c>
    </row>
    <row r="4" spans="1:20" x14ac:dyDescent="0.25">
      <c r="A4">
        <v>3</v>
      </c>
      <c r="B4">
        <v>4</v>
      </c>
      <c r="I4" t="s">
        <v>11</v>
      </c>
      <c r="J4">
        <v>321</v>
      </c>
      <c r="N4" t="s">
        <v>18</v>
      </c>
      <c r="O4">
        <v>12</v>
      </c>
      <c r="P4">
        <v>13</v>
      </c>
      <c r="S4">
        <v>3</v>
      </c>
      <c r="T4">
        <v>3</v>
      </c>
    </row>
    <row r="5" spans="1:20" x14ac:dyDescent="0.25">
      <c r="A5">
        <v>4</v>
      </c>
      <c r="B5">
        <v>5</v>
      </c>
      <c r="I5" t="s">
        <v>15</v>
      </c>
      <c r="J5">
        <v>122</v>
      </c>
      <c r="S5">
        <v>4</v>
      </c>
      <c r="T5">
        <v>4</v>
      </c>
    </row>
    <row r="6" spans="1:20" x14ac:dyDescent="0.25">
      <c r="B6">
        <v>1</v>
      </c>
      <c r="I6">
        <v>1</v>
      </c>
      <c r="J6">
        <v>355</v>
      </c>
    </row>
    <row r="20" spans="2:2" x14ac:dyDescent="0.25">
      <c r="B20" s="3"/>
    </row>
    <row r="21" spans="2:2" x14ac:dyDescent="0.25">
      <c r="B21" s="3"/>
    </row>
    <row r="22" spans="2:2" x14ac:dyDescent="0.25">
      <c r="B22" s="3"/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C236F-2AC2-4781-9CDD-3AF917A80E57}">
  <dimension ref="O19:W21"/>
  <sheetViews>
    <sheetView tabSelected="1" workbookViewId="0">
      <selection activeCell="R20" sqref="R20:T21"/>
    </sheetView>
  </sheetViews>
  <sheetFormatPr baseColWidth="10" defaultRowHeight="15" x14ac:dyDescent="0.25"/>
  <sheetData>
    <row r="19" spans="15:23" ht="21" x14ac:dyDescent="0.35">
      <c r="O19" s="4" t="s">
        <v>19</v>
      </c>
      <c r="P19" s="4"/>
      <c r="Q19" s="4"/>
      <c r="R19" s="4" t="s">
        <v>20</v>
      </c>
      <c r="S19" s="4"/>
      <c r="T19" s="4"/>
      <c r="U19" s="4" t="s">
        <v>21</v>
      </c>
      <c r="V19" s="4"/>
      <c r="W19" s="4"/>
    </row>
    <row r="20" spans="15:23" x14ac:dyDescent="0.25">
      <c r="O20" s="4">
        <f>Data!B20</f>
        <v>0</v>
      </c>
      <c r="P20" s="4"/>
      <c r="Q20" s="4"/>
      <c r="R20" s="4">
        <f>Data!B21</f>
        <v>0</v>
      </c>
      <c r="S20" s="4"/>
      <c r="T20" s="4"/>
      <c r="U20" s="4">
        <f>Data!B22</f>
        <v>0</v>
      </c>
      <c r="V20" s="4"/>
      <c r="W20" s="4"/>
    </row>
    <row r="21" spans="15:23" x14ac:dyDescent="0.25">
      <c r="O21" s="4"/>
      <c r="P21" s="4"/>
      <c r="Q21" s="4"/>
      <c r="R21" s="4"/>
      <c r="S21" s="4"/>
      <c r="T21" s="4"/>
      <c r="U21" s="4"/>
      <c r="V21" s="4"/>
      <c r="W21" s="4"/>
    </row>
  </sheetData>
  <mergeCells count="6">
    <mergeCell ref="O19:Q19"/>
    <mergeCell ref="R19:T19"/>
    <mergeCell ref="U19:W19"/>
    <mergeCell ref="O20:Q21"/>
    <mergeCell ref="R20:T21"/>
    <mergeCell ref="U20:W2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Charts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2025-10-22T02:26:57Z</dcterms:created>
  <dcterms:modified xsi:type="dcterms:W3CDTF">2025-10-22T06:54:48Z</dcterms:modified>
  <cp:category/>
</cp:coreProperties>
</file>